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9e9bc8de6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3c865d4c794d3c"/>
    <x:sheet xmlns:r="http://schemas.openxmlformats.org/officeDocument/2006/relationships" name="Planner Tasks" sheetId="2" r:id="Re94f9fc92b8e4f80"/>
    <x:sheet xmlns:r="http://schemas.openxmlformats.org/officeDocument/2006/relationships" name="Reference" sheetId="3" r:id="R195e49c36eb0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9">
    <x:font>
      <x:sz val="11"/>
      <x:name val="Carlito"/>
    </x:font>
    <x:font>
      <x:sz val="10"/>
      <x:color rgb="FF222222"/>
      <x:name val="Arial"/>
    </x:font>
    <x:font>
      <x:b/>
      <x:sz val="16"/>
      <x:color rgb="FF202124"/>
      <x:name val="Arial"/>
    </x:font>
    <x:font>
      <x:i/>
      <x:sz val="10"/>
      <x:color rgb="FF5D5D5D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b/>
      <x:sz val="10"/>
      <x:color rgb="FF4B167A"/>
      <x:name val="Arial"/>
    </x:font>
    <x:font>
      <x:b/>
      <x:sz val="9"/>
      <x:color rgb="FFFFFFFF"/>
      <x:name val="Arial"/>
    </x:font>
    <x:font>
      <x:b/>
      <x:sz val="11"/>
      <x:color rgb="FF4B167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2124"/>
      </x:patternFill>
    </x:fill>
    <x:fill>
      <x:patternFill patternType="solid">
        <x:fgColor rgb="FFFFFFFF"/>
      </x:patternFill>
    </x:fill>
    <x:fill>
      <x:patternFill patternType="solid">
        <x:fgColor rgb="FFF2E7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5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right"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e29c7b7844777" /><Relationship Type="http://schemas.openxmlformats.org/officeDocument/2006/relationships/theme" Target="/xl/theme/theme1.xml" Id="R09aa7f88352640f7" /><Relationship Type="http://schemas.openxmlformats.org/officeDocument/2006/relationships/sharedStrings" Target="/xl/sharedStrings.xml" Id="R5bb019ace1fb494e" /><Relationship Type="http://schemas.openxmlformats.org/officeDocument/2006/relationships/worksheet" Target="/xl/worksheets/sheet1.xml" Id="R5a3c865d4c794d3c" /><Relationship Type="http://schemas.openxmlformats.org/officeDocument/2006/relationships/worksheet" Target="/xl/worksheets/sheet2.xml" Id="Re94f9fc92b8e4f80" /><Relationship Type="http://schemas.openxmlformats.org/officeDocument/2006/relationships/worksheet" Target="/xl/worksheets/sheet3.xml" Id="R195e49c36eb04c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" hidden="0" customWidth="1"/>
    <x:col min="4" max="4" width="28" hidden="0" customWidth="1"/>
    <x:col min="5" max="5" width="12" hidden="0" customWidth="1"/>
    <x:col min="6" max="6" width="14" hidden="0" customWidth="1"/>
    <x:col min="7" max="7" width="22" hidden="0" customWidth="1"/>
    <x:col min="8" max="8" width="38" hidden="0" customWidth="1"/>
  </x:cols>
  <x:sheetData>
    <x:row r="1">
      <x:c r="A1" s="3" t="str">
        <x:v>Song Bench New Member Onboarding Development Plan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5" t="str">
        <x:v>Teams Planner task list for the bench-project onboarding vertical slice. Planning artifact only; statuses do not indicate implementation completion.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Planning measure</x:v>
      </x:c>
      <x:c r="B4" s="8" t="str">
        <x:v>Value</x:v>
      </x:c>
      <x:c r="C4" s="1"/>
      <x:c r="D4" s="14" t="str">
        <x:v>Phase</x:v>
      </x:c>
      <x:c r="E4" s="14" t="str">
        <x:v>Task count</x:v>
      </x:c>
      <x:c r="F4" s="14" t="str">
        <x:v>Effort days</x:v>
      </x:c>
      <x:c r="G4" s="14" t="str">
        <x:v>Primary owner</x:v>
      </x:c>
      <x:c r="H4" s="14" t="str">
        <x:v>Dependency note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4" customHeight="1">
      <x:c r="A5" s="11" t="str">
        <x:v>Total tasks</x:v>
      </x:c>
      <x:c r="B5" s="12" t="n">
        <x:f>COUNTA('Planner Tasks'!$A$6:$A$40)</x:f>
        <x:v>26</x:v>
      </x:c>
      <x:c r="C5" s="1"/>
      <x:c r="D5" s="15" t="str">
        <x:v>1. Scope and approvals</x:v>
      </x:c>
      <x:c r="E5" s="16" t="n">
        <x:f>COUNTIF('Planner Tasks'!$B$6:$B$40,D5)</x:f>
        <x:v>4</x:v>
      </x:c>
      <x:c r="F5" s="16" t="n">
        <x:f>SUMIF('Planner Tasks'!$B$6:$B$40,D5,'Planner Tasks'!$H$6:$H$40)</x:f>
        <x:v>4</x:v>
      </x:c>
      <x:c r="G5" s="15" t="str">
        <x:v>Product owner</x:v>
      </x:c>
      <x:c r="H5" s="15" t="str">
        <x:v>Approve ADR-0039 and coordinator scope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4" customHeight="1">
      <x:c r="A6" s="11" t="str">
        <x:v>Not started</x:v>
      </x:c>
      <x:c r="B6" s="12" t="n">
        <x:f>COUNTIF('Planner Tasks'!$J$6:$J$40,"Not started")</x:f>
        <x:v>23</x:v>
      </x:c>
      <x:c r="C6" s="1"/>
      <x:c r="D6" s="15" t="str">
        <x:v>2. Identity and data model</x:v>
      </x:c>
      <x:c r="E6" s="16" t="n">
        <x:f>COUNTIF('Planner Tasks'!$B$6:$B$40,D6)</x:f>
        <x:v>4</x:v>
      </x:c>
      <x:c r="F6" s="16" t="n">
        <x:f>SUMIF('Planner Tasks'!$B$6:$B$40,D6,'Planner Tasks'!$H$6:$H$40)</x:f>
        <x:v>8</x:v>
      </x:c>
      <x:c r="G6" s="15" t="str">
        <x:v>Backend</x:v>
      </x:c>
      <x:c r="H6" s="15" t="str">
        <x:v>WP-035/WP-036 foundations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4" customHeight="1">
      <x:c r="A7" s="11" t="str">
        <x:v>In progress</x:v>
      </x:c>
      <x:c r="B7" s="12" t="n">
        <x:f>COUNTIF('Planner Tasks'!$J$6:$J$40,"In progress")</x:f>
        <x:v>0</x:v>
      </x:c>
      <x:c r="C7" s="1"/>
      <x:c r="D7" s="15" t="str">
        <x:v>3. API and persistence</x:v>
      </x:c>
      <x:c r="E7" s="16" t="n">
        <x:f>COUNTIF('Planner Tasks'!$B$6:$B$40,D7)</x:f>
        <x:v>6</x:v>
      </x:c>
      <x:c r="F7" s="16" t="n">
        <x:f>SUMIF('Planner Tasks'!$B$6:$B$40,D7,'Planner Tasks'!$H$6:$H$40)</x:f>
        <x:v>18</x:v>
      </x:c>
      <x:c r="G7" s="15" t="str">
        <x:v>Backend</x:v>
      </x:c>
      <x:c r="H7" s="15" t="str">
        <x:v>OpenAPI plus SQLite/PostgreSQL parity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4" customHeight="1">
      <x:c r="A8" s="11" t="str">
        <x:v>Blocked / approval needed</x:v>
      </x:c>
      <x:c r="B8" s="12" t="n">
        <x:f>COUNTIF('Planner Tasks'!$J$6:$J$40,"Blocked")</x:f>
        <x:v>3</x:v>
      </x:c>
      <x:c r="C8" s="1"/>
      <x:c r="D8" s="15" t="str">
        <x:v>4. Member experience</x:v>
      </x:c>
      <x:c r="E8" s="16" t="n">
        <x:f>COUNTIF('Planner Tasks'!$B$6:$B$40,D8)</x:f>
        <x:v>3</x:v>
      </x:c>
      <x:c r="F8" s="16" t="n">
        <x:f>SUMIF('Planner Tasks'!$B$6:$B$40,D8,'Planner Tasks'!$H$6:$H$40)</x:f>
        <x:v>7</x:v>
      </x:c>
      <x:c r="G8" s="15" t="str">
        <x:v>Frontend</x:v>
      </x:c>
      <x:c r="H8" s="15" t="str">
        <x:v>Assignment-owned API available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4" customHeight="1">
      <x:c r="A9" s="11" t="str">
        <x:v>Estimated effort (days)</x:v>
      </x:c>
      <x:c r="B9" s="12" t="n">
        <x:f>SUM('Planner Tasks'!$H$6:$H$40)</x:f>
        <x:v>61</x:v>
      </x:c>
      <x:c r="C9" s="1"/>
      <x:c r="D9" s="15" t="str">
        <x:v>5. Coordinator experience</x:v>
      </x:c>
      <x:c r="E9" s="16" t="n">
        <x:f>COUNTIF('Planner Tasks'!$B$6:$B$40,D9)</x:f>
        <x:v>3</x:v>
      </x:c>
      <x:c r="F9" s="16" t="n">
        <x:f>SUMIF('Planner Tasks'!$B$6:$B$40,D9,'Planner Tasks'!$H$6:$H$40)</x:f>
        <x:v>9</x:v>
      </x:c>
      <x:c r="G9" s="15" t="str">
        <x:v>Frontend / backend</x:v>
      </x:c>
      <x:c r="H9" s="15" t="str">
        <x:v>Scope and verification policy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4" customHeight="1">
      <x:c r="A10" s="11" t="str">
        <x:v>Critical / high priority</x:v>
      </x:c>
      <x:c r="B10" s="12" t="n">
        <x:f>COUNTIF('Planner Tasks'!$G$6:$G$40,"Critical")+COUNTIF('Planner Tasks'!$G$6:$G$40,"High")</x:f>
        <x:v>24</x:v>
      </x:c>
      <x:c r="C10" s="1"/>
      <x:c r="D10" s="15" t="str">
        <x:v>6. Qualification</x:v>
      </x:c>
      <x:c r="E10" s="16" t="n">
        <x:f>COUNTIF('Planner Tasks'!$B$6:$B$40,D10)</x:f>
        <x:v>4</x:v>
      </x:c>
      <x:c r="F10" s="16" t="n">
        <x:f>SUMIF('Planner Tasks'!$B$6:$B$40,D10,'Planner Tasks'!$H$6:$H$40)</x:f>
        <x:v>12</x:v>
      </x:c>
      <x:c r="G10" s="15" t="str">
        <x:v>QA / security</x:v>
      </x:c>
      <x:c r="H10" s="15" t="str">
        <x:v>Disposable PostgreSQL and browser tests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4" customHeight="1">
      <x:c r="A11" s="1"/>
      <x:c r="B11" s="1"/>
      <x:c r="C11" s="1"/>
      <x:c r="D11" s="15" t="str">
        <x:v>7. Handoff</x:v>
      </x:c>
      <x:c r="E11" s="16" t="n">
        <x:f>COUNTIF('Planner Tasks'!$B$6:$B$40,D11)</x:f>
        <x:v>2</x:v>
      </x:c>
      <x:c r="F11" s="16" t="n">
        <x:f>SUMIF('Planner Tasks'!$B$6:$B$40,D11,'Planner Tasks'!$H$6:$H$40)</x:f>
        <x:v>3</x:v>
      </x:c>
      <x:c r="G11" s="15" t="str">
        <x:v>Tech lead</x:v>
      </x:c>
      <x:c r="H11" s="15" t="str">
        <x:v>Runbook and evidence attached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9" t="str">
        <x:v>Recommended assignment sequence: approval → ownership model → API/database → member flow → coordinator flow → security qualification → handoff.</x:v>
      </x:c>
      <x:c r="B13" s="19"/>
      <x:c r="C13" s="19"/>
      <x:c r="D13" s="19"/>
      <x:c r="E13" s="19"/>
      <x:c r="F13" s="19"/>
      <x:c r="G13" s="19"/>
      <x:c r="H13" s="19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8" hidden="0" customWidth="1"/>
    <x:col min="4" max="4" width="48" hidden="0" customWidth="1"/>
    <x:col min="5" max="5" width="22" hidden="0" customWidth="1"/>
    <x:col min="6" max="6" width="24" hidden="0" customWidth="1"/>
    <x:col min="7" max="7" width="12" hidden="0" customWidth="1"/>
    <x:col min="8" max="8" width="14" hidden="0" customWidth="1"/>
    <x:col min="9" max="9" width="24" hidden="0" customWidth="1"/>
    <x:col min="10" max="10" width="14" hidden="0" customWidth="1"/>
    <x:col min="11" max="11" width="46" hidden="0" customWidth="1"/>
    <x:col min="12" max="12" width="18" hidden="0" customWidth="1"/>
  </x:cols>
  <x:sheetData>
    <x:row r="1">
      <x:c r="A1" s="2" t="str">
        <x:v>Teams Planner task list: Song Bench new member onboarding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5" t="str">
        <x:v>Assign one row per Planner task. Use Task ID as the stable reference when splitting work or creating Planner cards.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8" t="str">
        <x:v>Planner mapping</x:v>
      </x:c>
      <x:c r="B4" s="18" t="str">
        <x:v>Suggested mapping</x:v>
      </x:c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  <x:c r="K4" s="18" t="str"/>
      <x:c r="L4" s="18" t="str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4" customHeight="1">
      <x:c r="A5" s="23" t="str">
        <x:v>Task ID</x:v>
      </x:c>
      <x:c r="B5" s="23" t="str">
        <x:v>Phase</x:v>
      </x:c>
      <x:c r="C5" s="23" t="str">
        <x:v>Task</x:v>
      </x:c>
      <x:c r="D5" s="23" t="str">
        <x:v>Description</x:v>
      </x:c>
      <x:c r="E5" s="23" t="str">
        <x:v>Owner role</x:v>
      </x:c>
      <x:c r="F5" s="23" t="str">
        <x:v>Reference</x:v>
      </x:c>
      <x:c r="G5" s="23" t="str">
        <x:v>Priority</x:v>
      </x:c>
      <x:c r="H5" s="23" t="str">
        <x:v>Estimate days</x:v>
      </x:c>
      <x:c r="I5" s="23" t="str">
        <x:v>Dependency</x:v>
      </x:c>
      <x:c r="J5" s="23" t="str">
        <x:v>Status</x:v>
      </x:c>
      <x:c r="K5" s="23" t="str">
        <x:v>Acceptance evidence</x:v>
      </x:c>
      <x:c r="L5" s="23" t="str">
        <x:v>Workstream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6" t="str">
        <x:v>ONB-001</x:v>
      </x:c>
      <x:c r="B6" s="26" t="str">
        <x:v>1. Scope and approvals</x:v>
      </x:c>
      <x:c r="C6" s="26" t="str">
        <x:v>Approve onboarding meaning</x:v>
      </x:c>
      <x:c r="D6" s="26" t="str">
        <x:v>Confirm onboarding means onboarding a new Song member joining the bench; record product owner and non-goals.</x:v>
      </x:c>
      <x:c r="E6" s="26" t="str">
        <x:v>Product owner</x:v>
      </x:c>
      <x:c r="F6" s="26" t="str">
        <x:v>ADR-0039</x:v>
      </x:c>
      <x:c r="G6" s="26" t="str">
        <x:v>Critical</x:v>
      </x:c>
      <x:c r="H6" s="27" t="n">
        <x:v>1</x:v>
      </x:c>
      <x:c r="I6" s="26" t="str">
        <x:v>No dependency</x:v>
      </x:c>
      <x:c r="J6" s="26" t="str">
        <x:v>Not started</x:v>
      </x:c>
      <x:c r="K6" s="26" t="str">
        <x:v>Approved scope recorded in ADR-0039 and SAD.</x:v>
      </x:c>
      <x:c r="L6" s="26" t="str">
        <x:v>Scope</x:v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6" t="str">
        <x:v>ONB-002</x:v>
      </x:c>
      <x:c r="B7" s="26" t="str">
        <x:v>1. Scope and approvals</x:v>
      </x:c>
      <x:c r="C7" s="26" t="str">
        <x:v>Confirm coordinator scope</x:v>
      </x:c>
      <x:c r="D7" s="26" t="str">
        <x:v>Choose all members, cohort, or named assignment scope and define who can verify/close onboarding.</x:v>
      </x:c>
      <x:c r="E7" s="26" t="str">
        <x:v>Product owner / security</x:v>
      </x:c>
      <x:c r="F7" s="26" t="str">
        <x:v>ADR-0039</x:v>
      </x:c>
      <x:c r="G7" s="26" t="str">
        <x:v>Critical</x:v>
      </x:c>
      <x:c r="H7" s="27" t="n">
        <x:v>1</x:v>
      </x:c>
      <x:c r="I7" s="26" t="str">
        <x:v>ONB-001</x:v>
      </x:c>
      <x:c r="J7" s="26" t="str">
        <x:v>Blocked</x:v>
      </x:c>
      <x:c r="K7" s="26" t="str">
        <x:v>Scope decision recorded; default deny for missing mapping.</x:v>
      </x:c>
      <x:c r="L7" s="26" t="str">
        <x:v>Decision</x:v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6" t="str">
        <x:v>ONB-003</x:v>
      </x:c>
      <x:c r="B8" s="26" t="str">
        <x:v>1. Scope and approvals</x:v>
      </x:c>
      <x:c r="C8" s="26" t="str">
        <x:v>Approve starter onboarding stages</x:v>
      </x:c>
      <x:c r="D8" s="26" t="str">
        <x:v>Review Welcome, Personal readiness, Skills and learning, Engagement readiness, and Review/closeout.</x:v>
      </x:c>
      <x:c r="E8" s="26" t="str">
        <x:v>Bench coordinator</x:v>
      </x:c>
      <x:c r="F8" s="26" t="str">
        <x:v>SAD §5.2</x:v>
      </x:c>
      <x:c r="G8" s="26" t="str">
        <x:v>High</x:v>
      </x:c>
      <x:c r="H8" s="27" t="n">
        <x:v>1</x:v>
      </x:c>
      <x:c r="I8" s="26" t="str">
        <x:v>ONB-001</x:v>
      </x:c>
      <x:c r="J8" s="26" t="str">
        <x:v>Blocked</x:v>
      </x:c>
      <x:c r="K8" s="26" t="str">
        <x:v>Approved stage list with verification rules and help contact.</x:v>
      </x:c>
      <x:c r="L8" s="26" t="str">
        <x:v>Content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6" t="str">
        <x:v>ONB-004</x:v>
      </x:c>
      <x:c r="B9" s="26" t="str">
        <x:v>1. Scope and approvals</x:v>
      </x:c>
      <x:c r="C9" s="26" t="str">
        <x:v>Confirm privacy and retention</x:v>
      </x:c>
      <x:c r="D9" s="26" t="str">
        <x:v>Define minimum member fields, task history retention, coordinator visibility, and deletion/export expectations.</x:v>
      </x:c>
      <x:c r="E9" s="26" t="str">
        <x:v>Privacy / security</x:v>
      </x:c>
      <x:c r="F9" s="26" t="str">
        <x:v>ADR-0020</x:v>
      </x:c>
      <x:c r="G9" s="26" t="str">
        <x:v>High</x:v>
      </x:c>
      <x:c r="H9" s="27" t="n">
        <x:v>1</x:v>
      </x:c>
      <x:c r="I9" s="26" t="str">
        <x:v>ONB-001</x:v>
      </x:c>
      <x:c r="J9" s="26" t="str">
        <x:v>Blocked</x:v>
      </x:c>
      <x:c r="K9" s="26" t="str">
        <x:v>Privacy decision recorded before production data use.</x:v>
      </x:c>
      <x:c r="L9" s="26" t="str">
        <x:v>Decision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6" t="str">
        <x:v>ONB-005</x:v>
      </x:c>
      <x:c r="B10" s="26" t="str">
        <x:v>2. Identity and data model</x:v>
      </x:c>
      <x:c r="C10" s="26" t="str">
        <x:v>Map member identity fixture</x:v>
      </x:c>
      <x:c r="D10" s="26" t="str">
        <x:v>Define local member fixture and Production Mode identity mapping without client role authority.</x:v>
      </x:c>
      <x:c r="E10" s="26" t="str">
        <x:v>Backend</x:v>
      </x:c>
      <x:c r="F10" s="26" t="str">
        <x:v>ADR-0035, ADR-0039</x:v>
      </x:c>
      <x:c r="G10" s="26" t="str">
        <x:v>Critical</x:v>
      </x:c>
      <x:c r="H10" s="27" t="n">
        <x:v>2</x:v>
      </x:c>
      <x:c r="I10" s="26" t="str">
        <x:v>ONB-001</x:v>
      </x:c>
      <x:c r="J10" s="26" t="str">
        <x:v>Not started</x:v>
      </x:c>
      <x:c r="K10" s="26" t="str">
        <x:v>Fixture resolves stable member ID and role/scope server-side.</x:v>
      </x:c>
      <x:c r="L10" s="26" t="str">
        <x:v>Backend</x:v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6" t="str">
        <x:v>ONB-006</x:v>
      </x:c>
      <x:c r="B11" s="26" t="str">
        <x:v>2. Identity and data model</x:v>
      </x:c>
      <x:c r="C11" s="26" t="str">
        <x:v>Design assignment-owned schema</x:v>
      </x:c>
      <x:c r="D11" s="26" t="str">
        <x:v>Create ERD and constraints for member, cohort, template version, assignment, assigned task, events and resources.</x:v>
      </x:c>
      <x:c r="E11" s="26" t="str">
        <x:v>Backend / architect</x:v>
      </x:c>
      <x:c r="F11" s="26" t="str">
        <x:v>ADR-0039</x:v>
      </x:c>
      <x:c r="G11" s="26" t="str">
        <x:v>Critical</x:v>
      </x:c>
      <x:c r="H11" s="27" t="n">
        <x:v>2</x:v>
      </x:c>
      <x:c r="I11" s="26" t="str">
        <x:v>ONB-001, ONB-002</x:v>
      </x:c>
      <x:c r="J11" s="26" t="str">
        <x:v>Not started</x:v>
      </x:c>
      <x:c r="K11" s="26" t="str">
        <x:v>Schema review confirms ownership, immutable version and append-only events.</x:v>
      </x:c>
      <x:c r="L11" s="26" t="str">
        <x:v>Database</x:v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6" t="str">
        <x:v>ONB-007</x:v>
      </x:c>
      <x:c r="B12" s="26" t="str">
        <x:v>2. Identity and data model</x:v>
      </x:c>
      <x:c r="C12" s="26" t="str">
        <x:v>Write SQLite migration</x:v>
      </x:c>
      <x:c r="D12" s="26" t="str">
        <x:v>Implement clean and upgrade migration with repeat-startup safety.</x:v>
      </x:c>
      <x:c r="E12" s="26" t="str">
        <x:v>Backend</x:v>
      </x:c>
      <x:c r="F12" s="26" t="str">
        <x:v>WP-017, WP-029</x:v>
      </x:c>
      <x:c r="G12" s="26" t="str">
        <x:v>High</x:v>
      </x:c>
      <x:c r="H12" s="27" t="n">
        <x:v>2</x:v>
      </x:c>
      <x:c r="I12" s="26" t="str">
        <x:v>ONB-006</x:v>
      </x:c>
      <x:c r="J12" s="26" t="str">
        <x:v>Not started</x:v>
      </x:c>
      <x:c r="K12" s="26" t="str">
        <x:v>SQLite migration applies once and preserves existing data.</x:v>
      </x:c>
      <x:c r="L12" s="26" t="str">
        <x:v>Database</x:v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6" t="str">
        <x:v>ONB-008</x:v>
      </x:c>
      <x:c r="B13" s="26" t="str">
        <x:v>2. Identity and data model</x:v>
      </x:c>
      <x:c r="C13" s="26" t="str">
        <x:v>Write PostgreSQL migration</x:v>
      </x:c>
      <x:c r="D13" s="26" t="str">
        <x:v>Implement equivalent PostgreSQL migration and constraints.</x:v>
      </x:c>
      <x:c r="E13" s="26" t="str">
        <x:v>Backend</x:v>
      </x:c>
      <x:c r="F13" s="26" t="str">
        <x:v>WP-017, WP-029</x:v>
      </x:c>
      <x:c r="G13" s="26" t="str">
        <x:v>High</x:v>
      </x:c>
      <x:c r="H13" s="27" t="n">
        <x:v>2</x:v>
      </x:c>
      <x:c r="I13" s="26" t="str">
        <x:v>ONB-006</x:v>
      </x:c>
      <x:c r="J13" s="26" t="str">
        <x:v>Not started</x:v>
      </x:c>
      <x:c r="K13" s="26" t="str">
        <x:v>PostgreSQL clean/upgrade migration passes without duplication.</x:v>
      </x:c>
      <x:c r="L13" s="26" t="str">
        <x:v>Database</x:v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6" t="str">
        <x:v>ONB-009</x:v>
      </x:c>
      <x:c r="B14" s="26" t="str">
        <x:v>3. API and persistence</x:v>
      </x:c>
      <x:c r="C14" s="26" t="str">
        <x:v>Implement repositories and ownership policy</x:v>
      </x:c>
      <x:c r="D14" s="26" t="str">
        <x:v>Add adapter/service methods enforcing member ownership, coordinator scope and assignment lifecycle.</x:v>
      </x:c>
      <x:c r="E14" s="26" t="str">
        <x:v>Backend</x:v>
      </x:c>
      <x:c r="F14" s="26" t="str">
        <x:v>ONB-006, ONB-007, ONB-008</x:v>
      </x:c>
      <x:c r="G14" s="26" t="str">
        <x:v>Critical</x:v>
      </x:c>
      <x:c r="H14" s="27" t="n">
        <x:v>4</x:v>
      </x:c>
      <x:c r="I14" s="26" t="str">
        <x:v>ONB-005</x:v>
      </x:c>
      <x:c r="J14" s="26" t="str">
        <x:v>Not started</x:v>
      </x:c>
      <x:c r="K14" s="26" t="str">
        <x:v>Cross-member access is denied in repository/service tests.</x:v>
      </x:c>
      <x:c r="L14" s="26" t="str">
        <x:v>Backend</x:v>
      </x:c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6" t="str">
        <x:v>ONB-010</x:v>
      </x:c>
      <x:c r="B15" s="26" t="str">
        <x:v>3. API and persistence</x:v>
      </x:c>
      <x:c r="C15" s="26" t="str">
        <x:v>Implement member read APIs</x:v>
      </x:c>
      <x:c r="D15" s="26" t="str">
        <x:v>Implement `/api/v1/onboarding/me` and `/api/v1/onboarding/me/tasks`.</x:v>
      </x:c>
      <x:c r="E15" s="26" t="str">
        <x:v>Backend</x:v>
      </x:c>
      <x:c r="F15" s="26" t="str">
        <x:v>ADR-0002, ADR-0039</x:v>
      </x:c>
      <x:c r="G15" s="26" t="str">
        <x:v>High</x:v>
      </x:c>
      <x:c r="H15" s="27" t="n">
        <x:v>2</x:v>
      </x:c>
      <x:c r="I15" s="26" t="str">
        <x:v>ONB-009</x:v>
      </x:c>
      <x:c r="J15" s="26" t="str">
        <x:v>Not started</x:v>
      </x:c>
      <x:c r="K15" s="26" t="str">
        <x:v>Response contains only caller assignment and server-derived progress.</x:v>
      </x:c>
      <x:c r="L15" s="26" t="str">
        <x:v>API</x:v>
      </x:c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6" t="str">
        <x:v>ONB-011</x:v>
      </x:c>
      <x:c r="B16" s="26" t="str">
        <x:v>3. API and persistence</x:v>
      </x:c>
      <x:c r="C16" s="26" t="str">
        <x:v>Implement member task event API</x:v>
      </x:c>
      <x:c r="D16" s="26" t="str">
        <x:v>Implement self-complete, reopen-if-allowed and request-help events with idempotency and revision checks.</x:v>
      </x:c>
      <x:c r="E16" s="26" t="str">
        <x:v>Backend</x:v>
      </x:c>
      <x:c r="F16" s="26" t="str">
        <x:v>ADR-0006, ADR-0039</x:v>
      </x:c>
      <x:c r="G16" s="26" t="str">
        <x:v>Critical</x:v>
      </x:c>
      <x:c r="H16" s="27" t="n">
        <x:v>3</x:v>
      </x:c>
      <x:c r="I16" s="26" t="str">
        <x:v>ONB-009</x:v>
      </x:c>
      <x:c r="J16" s="26" t="str">
        <x:v>Not started</x:v>
      </x:c>
      <x:c r="K16" s="26" t="str">
        <x:v>Stale revision returns 409; events are actor-attributed.</x:v>
      </x:c>
      <x:c r="L16" s="26" t="str">
        <x:v>API</x:v>
      </x:c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6" t="str">
        <x:v>ONB-012</x:v>
      </x:c>
      <x:c r="B17" s="26" t="str">
        <x:v>3. API and persistence</x:v>
      </x:c>
      <x:c r="C17" s="26" t="str">
        <x:v>Implement coordinator APIs</x:v>
      </x:c>
      <x:c r="D17" s="26" t="str">
        <x:v>Implement scoped member list, assignment creation and verification endpoints.</x:v>
      </x:c>
      <x:c r="E17" s="26" t="str">
        <x:v>Backend</x:v>
      </x:c>
      <x:c r="F17" s="26" t="str">
        <x:v>ADR-0039</x:v>
      </x:c>
      <x:c r="G17" s="26" t="str">
        <x:v>Critical</x:v>
      </x:c>
      <x:c r="H17" s="27" t="n">
        <x:v>4</x:v>
      </x:c>
      <x:c r="I17" s="26" t="str">
        <x:v>ONB-002, ONB-009</x:v>
      </x:c>
      <x:c r="J17" s="26" t="str">
        <x:v>Not started</x:v>
      </x:c>
      <x:c r="K17" s="26" t="str">
        <x:v>Coordinator cannot access out-of-scope member or assignment.</x:v>
      </x:c>
      <x:c r="L17" s="26" t="str">
        <x:v>API</x:v>
      </x:c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6" t="str">
        <x:v>ONB-013</x:v>
      </x:c>
      <x:c r="B18" s="26" t="str">
        <x:v>3. API and persistence</x:v>
      </x:c>
      <x:c r="C18" s="26" t="str">
        <x:v>Implement template/resource APIs</x:v>
      </x:c>
      <x:c r="D18" s="26" t="str">
        <x:v>Implement template listing/publish validation and curated resource read API.</x:v>
      </x:c>
      <x:c r="E18" s="26" t="str">
        <x:v>Backend</x:v>
      </x:c>
      <x:c r="F18" s="26" t="str">
        <x:v>ADR-0039, ADR-0036</x:v>
      </x:c>
      <x:c r="G18" s="26" t="str">
        <x:v>High</x:v>
      </x:c>
      <x:c r="H18" s="27" t="n">
        <x:v>3</x:v>
      </x:c>
      <x:c r="I18" s="26" t="str">
        <x:v>ONB-003, ONB-006</x:v>
      </x:c>
      <x:c r="J18" s="26" t="str">
        <x:v>Not started</x:v>
      </x:c>
      <x:c r="K18" s="26" t="str">
        <x:v>Only validated published versions can be assigned.</x:v>
      </x:c>
      <x:c r="L18" s="26" t="str">
        <x:v>API</x:v>
      </x:c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6" t="str">
        <x:v>ONB-014</x:v>
      </x:c>
      <x:c r="B19" s="26" t="str">
        <x:v>3. API and persistence</x:v>
      </x:c>
      <x:c r="C19" s="26" t="str">
        <x:v>Update OpenAPI and parity checks</x:v>
      </x:c>
      <x:c r="D19" s="26" t="str">
        <x:v>Document all routes, schemas, errors and authorization; add route-to-contract parity checks.</x:v>
      </x:c>
      <x:c r="E19" s="26" t="str">
        <x:v>Backend / QA</x:v>
      </x:c>
      <x:c r="F19" s="26" t="str">
        <x:v>ADR-0002, ADR-0022</x:v>
      </x:c>
      <x:c r="G19" s="26" t="str">
        <x:v>High</x:v>
      </x:c>
      <x:c r="H19" s="27" t="n">
        <x:v>2</x:v>
      </x:c>
      <x:c r="I19" s="26" t="str">
        <x:v>ONB-010, ONB-011, ONB-012, ONB-013</x:v>
      </x:c>
      <x:c r="J19" s="26" t="str">
        <x:v>Not started</x:v>
      </x:c>
      <x:c r="K19" s="26" t="str">
        <x:v>No implemented onboarding route is undocumented.</x:v>
      </x:c>
      <x:c r="L19" s="26" t="str">
        <x:v>Contract</x:v>
      </x:c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6" t="str">
        <x:v>ONB-015</x:v>
      </x:c>
      <x:c r="B20" s="26" t="str">
        <x:v>4. Member experience</x:v>
      </x:c>
      <x:c r="C20" s="26" t="str">
        <x:v>Build no-assignment state</x:v>
      </x:c>
      <x:c r="D20" s="26" t="str">
        <x:v>Create explicit no-assignment page/state with coordinator contact and no false progress.</x:v>
      </x:c>
      <x:c r="E20" s="26" t="str">
        <x:v>Frontend</x:v>
      </x:c>
      <x:c r="F20" s="26" t="str">
        <x:v>ADR-0039</x:v>
      </x:c>
      <x:c r="G20" s="26" t="str">
        <x:v>High</x:v>
      </x:c>
      <x:c r="H20" s="27" t="n">
        <x:v>1</x:v>
      </x:c>
      <x:c r="I20" s="26" t="str">
        <x:v>ONB-010</x:v>
      </x:c>
      <x:c r="J20" s="26" t="str">
        <x:v>Not started</x:v>
      </x:c>
      <x:c r="K20" s="26" t="str">
        <x:v>Member sees “No onboarding assigned” and help contact.</x:v>
      </x:c>
      <x:c r="L20" s="26" t="str">
        <x:v>Frontend</x:v>
      </x:c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6" t="str">
        <x:v>ONB-016</x:v>
      </x:c>
      <x:c r="B21" s="26" t="str">
        <x:v>4. Member experience</x:v>
      </x:c>
      <x:c r="C21" s="26" t="str">
        <x:v>Build onboarding summary screen</x:v>
      </x:c>
      <x:c r="D21" s="26" t="str">
        <x:v>Implement progress, next action, blockers, current steps and resource/help links.</x:v>
      </x:c>
      <x:c r="E21" s="26" t="str">
        <x:v>Frontend</x:v>
      </x:c>
      <x:c r="F21" s="26" t="str">
        <x:v>ADR-0038, ADR-0039</x:v>
      </x:c>
      <x:c r="G21" s="26" t="str">
        <x:v>High</x:v>
      </x:c>
      <x:c r="H21" s="27" t="n">
        <x:v>3</x:v>
      </x:c>
      <x:c r="I21" s="26" t="str">
        <x:v>ONB-010</x:v>
      </x:c>
      <x:c r="J21" s="26" t="str">
        <x:v>Not started</x:v>
      </x:c>
      <x:c r="K21" s="26" t="str">
        <x:v>Screen renders server data and preserves existing theme.</x:v>
      </x:c>
      <x:c r="L21" s="26" t="str">
        <x:v>Frontend</x:v>
      </x:c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6" t="str">
        <x:v>ONB-017</x:v>
      </x:c>
      <x:c r="B22" s="26" t="str">
        <x:v>4. Member experience</x:v>
      </x:c>
      <x:c r="C22" s="26" t="str">
        <x:v>Build task detail and help flow</x:v>
      </x:c>
      <x:c r="D22" s="26" t="str">
        <x:v>Implement task detail, self-attestation, request-help, validation and conflict feedback.</x:v>
      </x:c>
      <x:c r="E22" s="26" t="str">
        <x:v>Frontend</x:v>
      </x:c>
      <x:c r="F22" s="26" t="str">
        <x:v>ONB-011</x:v>
      </x:c>
      <x:c r="G22" s="26" t="str">
        <x:v>High</x:v>
      </x:c>
      <x:c r="H22" s="27" t="n">
        <x:v>3</x:v>
      </x:c>
      <x:c r="I22" s="26" t="str">
        <x:v>ONB-016</x:v>
      </x:c>
      <x:c r="J22" s="26" t="str">
        <x:v>Not started</x:v>
      </x:c>
      <x:c r="K22" s="26" t="str">
        <x:v>Member can complete/request help and sees 409 recovery guidance.</x:v>
      </x:c>
      <x:c r="L22" s="26" t="str">
        <x:v>Frontend</x:v>
      </x:c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6" t="str">
        <x:v>ONB-018</x:v>
      </x:c>
      <x:c r="B23" s="26" t="str">
        <x:v>5. Coordinator experience</x:v>
      </x:c>
      <x:c r="C23" s="26" t="str">
        <x:v>Build scoped member list</x:v>
      </x:c>
      <x:c r="D23" s="26" t="str">
        <x:v>Implement coordinator list with assignment status, blockers and scope-filtered data.</x:v>
      </x:c>
      <x:c r="E23" s="26" t="str">
        <x:v>Frontend</x:v>
      </x:c>
      <x:c r="F23" s="26" t="str">
        <x:v>ONB-012</x:v>
      </x:c>
      <x:c r="G23" s="26" t="str">
        <x:v>High</x:v>
      </x:c>
      <x:c r="H23" s="27" t="n">
        <x:v>3</x:v>
      </x:c>
      <x:c r="I23" s="26" t="str">
        <x:v>ONB-002</x:v>
      </x:c>
      <x:c r="J23" s="26" t="str">
        <x:v>Not started</x:v>
      </x:c>
      <x:c r="K23" s="26" t="str">
        <x:v>No unrelated member data appears in UI or API response.</x:v>
      </x:c>
      <x:c r="L23" s="26" t="str">
        <x:v>Frontend</x:v>
      </x:c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26" t="str">
        <x:v>ONB-019</x:v>
      </x:c>
      <x:c r="B24" s="26" t="str">
        <x:v>5. Coordinator experience</x:v>
      </x:c>
      <x:c r="C24" s="26" t="str">
        <x:v>Build assignment and verification flow</x:v>
      </x:c>
      <x:c r="D24" s="26" t="str">
        <x:v>Implement assignment creation, verification decision, rejection reason and closeout.</x:v>
      </x:c>
      <x:c r="E24" s="26" t="str">
        <x:v>Frontend</x:v>
      </x:c>
      <x:c r="F24" s="26" t="str">
        <x:v>ONB-012</x:v>
      </x:c>
      <x:c r="G24" s="26" t="str">
        <x:v>Critical</x:v>
      </x:c>
      <x:c r="H24" s="27" t="n">
        <x:v>4</x:v>
      </x:c>
      <x:c r="I24" s="26" t="str">
        <x:v>ONB-018</x:v>
      </x:c>
      <x:c r="J24" s="26" t="str">
        <x:v>Not started</x:v>
      </x:c>
      <x:c r="K24" s="26" t="str">
        <x:v>Coordinator can assign, verify and close only in scope.</x:v>
      </x:c>
      <x:c r="L24" s="26" t="str">
        <x:v>Frontend</x:v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26" t="str">
        <x:v>ONB-020</x:v>
      </x:c>
      <x:c r="B25" s="26" t="str">
        <x:v>5. Coordinator experience</x:v>
      </x:c>
      <x:c r="C25" s="26" t="str">
        <x:v>Wire dashboard summary</x:v>
      </x:c>
      <x:c r="D25" s="26" t="str">
        <x:v>Add assignment-aware status cards to ADR-0038 dashboard only after API is authoritative.</x:v>
      </x:c>
      <x:c r="E25" s="26" t="str">
        <x:v>Frontend</x:v>
      </x:c>
      <x:c r="F25" s="26" t="str">
        <x:v>ADR-0038</x:v>
      </x:c>
      <x:c r="G25" s="26" t="str">
        <x:v>Medium</x:v>
      </x:c>
      <x:c r="H25" s="27" t="n">
        <x:v>2</x:v>
      </x:c>
      <x:c r="I25" s="26" t="str">
        <x:v>ONB-010, ONB-018</x:v>
      </x:c>
      <x:c r="J25" s="26" t="str">
        <x:v>Not started</x:v>
      </x:c>
      <x:c r="K25" s="26" t="str">
        <x:v>Dashboard shows honest loading, empty, stale and error states.</x:v>
      </x:c>
      <x:c r="L25" s="26" t="str">
        <x:v>Frontend</x:v>
      </x:c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26" t="str">
        <x:v>ONB-021</x:v>
      </x:c>
      <x:c r="B26" s="26" t="str">
        <x:v>6. Qualification</x:v>
      </x:c>
      <x:c r="C26" s="26" t="str">
        <x:v>Add backend authorization negatives</x:v>
      </x:c>
      <x:c r="D26" s="26" t="str">
        <x:v>Test guest, missing identity, forged role, cross-member, out-of-scope and CSRF rejection.</x:v>
      </x:c>
      <x:c r="E26" s="26" t="str">
        <x:v>Security / backend</x:v>
      </x:c>
      <x:c r="F26" s="26" t="str">
        <x:v>ADR-0005, ADR-0035</x:v>
      </x:c>
      <x:c r="G26" s="26" t="str">
        <x:v>Critical</x:v>
      </x:c>
      <x:c r="H26" s="27" t="n">
        <x:v>3</x:v>
      </x:c>
      <x:c r="I26" s="26" t="str">
        <x:v>ONB-009, ONB-012</x:v>
      </x:c>
      <x:c r="J26" s="26" t="str">
        <x:v>Not started</x:v>
      </x:c>
      <x:c r="K26" s="26" t="str">
        <x:v>All protected mutations deny unauthorized requests with documented status.</x:v>
      </x:c>
      <x:c r="L26" s="26" t="str">
        <x:v>Security</x:v>
      </x:c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26" t="str">
        <x:v>ONB-022</x:v>
      </x:c>
      <x:c r="B27" s="26" t="str">
        <x:v>6. Qualification</x:v>
      </x:c>
      <x:c r="C27" s="26" t="str">
        <x:v>Run SQLite/PostgreSQL parity tests</x:v>
      </x:c>
      <x:c r="D27" s="26" t="str">
        <x:v>Run same ownership, transition, migration and restart matrix against both databases.</x:v>
      </x:c>
      <x:c r="E27" s="26" t="str">
        <x:v>QA / backend</x:v>
      </x:c>
      <x:c r="F27" s="26" t="str">
        <x:v>ADR-0028</x:v>
      </x:c>
      <x:c r="G27" s="26" t="str">
        <x:v>Critical</x:v>
      </x:c>
      <x:c r="H27" s="27" t="n">
        <x:v>3</x:v>
      </x:c>
      <x:c r="I27" s="26" t="str">
        <x:v>ONB-007, ONB-008, ONB-009</x:v>
      </x:c>
      <x:c r="J27" s="26" t="str">
        <x:v>Not started</x:v>
      </x:c>
      <x:c r="K27" s="26" t="str">
        <x:v>Equivalent business rules and persistence evidence attached.</x:v>
      </x:c>
      <x:c r="L27" s="26" t="str">
        <x:v>Qualification</x:v>
      </x:c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26" t="str">
        <x:v>ONB-023</x:v>
      </x:c>
      <x:c r="B28" s="26" t="str">
        <x:v>6. Qualification</x:v>
      </x:c>
      <x:c r="C28" s="26" t="str">
        <x:v>Add Playwright member journeys</x:v>
      </x:c>
      <x:c r="D28" s="26" t="str">
        <x:v>Cover no assignment, assigned member, task event, help request, refresh and session expiry.</x:v>
      </x:c>
      <x:c r="E28" s="26" t="str">
        <x:v>QA / frontend</x:v>
      </x:c>
      <x:c r="F28" s="26" t="str">
        <x:v>WP-009, WP-029</x:v>
      </x:c>
      <x:c r="G28" s="26" t="str">
        <x:v>High</x:v>
      </x:c>
      <x:c r="H28" s="27" t="n">
        <x:v>3</x:v>
      </x:c>
      <x:c r="I28" s="26" t="str">
        <x:v>ONB-015, ONB-017</x:v>
      </x:c>
      <x:c r="J28" s="26" t="str">
        <x:v>Not started</x:v>
      </x:c>
      <x:c r="K28" s="26" t="str">
        <x:v>Browser tests pass against disposable PostgreSQL.</x:v>
      </x:c>
      <x:c r="L28" s="26" t="str">
        <x:v>Qualification</x:v>
      </x:c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26" t="str">
        <x:v>ONB-024</x:v>
      </x:c>
      <x:c r="B29" s="26" t="str">
        <x:v>6. Qualification</x:v>
      </x:c>
      <x:c r="C29" s="26" t="str">
        <x:v>Add Playwright coordinator journeys</x:v>
      </x:c>
      <x:c r="D29" s="26" t="str">
        <x:v>Cover scoped member list, assignment, verification, denial and audit visibility.</x:v>
      </x:c>
      <x:c r="E29" s="26" t="str">
        <x:v>QA / frontend</x:v>
      </x:c>
      <x:c r="F29" s="26" t="str">
        <x:v>WP-009, WP-029</x:v>
      </x:c>
      <x:c r="G29" s="26" t="str">
        <x:v>High</x:v>
      </x:c>
      <x:c r="H29" s="27" t="n">
        <x:v>3</x:v>
      </x:c>
      <x:c r="I29" s="26" t="str">
        <x:v>ONB-019</x:v>
      </x:c>
      <x:c r="J29" s="26" t="str">
        <x:v>Not started</x:v>
      </x:c>
      <x:c r="K29" s="26" t="str">
        <x:v>Browser tests prove scope and role denial.</x:v>
      </x:c>
      <x:c r="L29" s="26" t="str">
        <x:v>Qualification</x:v>
      </x:c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26" t="str">
        <x:v>ONB-025</x:v>
      </x:c>
      <x:c r="B30" s="26" t="str">
        <x:v>7. Handoff</x:v>
      </x:c>
      <x:c r="C30" s="26" t="str">
        <x:v>Write onboarding runbook</x:v>
      </x:c>
      <x:c r="D30" s="26" t="str">
        <x:v>Document local Compose startup, dev identity, seed/assignment setup, test commands and troubleshooting.</x:v>
      </x:c>
      <x:c r="E30" s="26" t="str">
        <x:v>Tech lead</x:v>
      </x:c>
      <x:c r="F30" s="26" t="str">
        <x:v>ADR-0035</x:v>
      </x:c>
      <x:c r="G30" s="26" t="str">
        <x:v>Medium</x:v>
      </x:c>
      <x:c r="H30" s="27" t="n">
        <x:v>2</x:v>
      </x:c>
      <x:c r="I30" s="26" t="str">
        <x:v>ONB-022, ONB-023, ONB-024</x:v>
      </x:c>
      <x:c r="J30" s="26" t="str">
        <x:v>Not started</x:v>
      </x:c>
      <x:c r="K30" s="26" t="str">
        <x:v>A developer can exercise the full slice without Entra access.</x:v>
      </x:c>
      <x:c r="L30" s="26" t="str">
        <x:v>Handoff</x:v>
      </x:c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26" t="str">
        <x:v>ONB-026</x:v>
      </x:c>
      <x:c r="B31" s="26" t="str">
        <x:v>7. Handoff</x:v>
      </x:c>
      <x:c r="C31" s="26" t="str">
        <x:v>Attach evidence and update WP-043</x:v>
      </x:c>
      <x:c r="D31" s="26" t="str">
        <x:v>Attach migration logs, test results, screenshots and unresolved risks; update status honestly.</x:v>
      </x:c>
      <x:c r="E31" s="26" t="str">
        <x:v>Tech lead</x:v>
      </x:c>
      <x:c r="F31" s="26" t="str">
        <x:v>WP-043</x:v>
      </x:c>
      <x:c r="G31" s="26" t="str">
        <x:v>High</x:v>
      </x:c>
      <x:c r="H31" s="27" t="n">
        <x:v>1</x:v>
      </x:c>
      <x:c r="I31" s="26" t="str">
        <x:v>ONB-025</x:v>
      </x:c>
      <x:c r="J31" s="26" t="str">
        <x:v>Not started</x:v>
      </x:c>
      <x:c r="K31" s="26" t="str">
        <x:v>WP-043 is not marked complete until acceptance evidence passes.</x:v>
      </x:c>
      <x:c r="L31" s="26" t="str">
        <x:v>Handoff</x:v>
      </x:c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L1"/>
    <x:mergeCell ref="A2:L2"/>
  </x:mergeCells>
  <x:conditionalFormatting sqref="G6:G31">
    <x:cfRule type="containsText" dxfId="0" priority="1" operator="containsText" text="Critical"/>
    <x:cfRule type="containsText" dxfId="1" priority="2" operator="containsText" text="High"/>
  </x:conditionalFormatting>
  <x:dataValidations count="2">
    <x:dataValidation type="list" sqref="J6:J31">
      <x:formula1>"Not started,In progress,Blocked,Complete"</x:formula1>
    </x:dataValidation>
    <x:dataValidation type="list" sqref="G6:G31">
      <x:formula1>"Critical,High,Medium,Low"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2" t="str">
        <x:v>Reference and handoff notes</x:v>
      </x:c>
      <x:c r="B1" s="2"/>
      <x:c r="C1" s="2"/>
      <x:c r="D1" s="2"/>
      <x:c r="E1" s="2"/>
      <x:c r="F1" s="2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str">
        <x:v>Reference</x:v>
      </x:c>
      <x:c r="B3" s="7" t="str">
        <x:v>Use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5" t="str">
        <x:v>ADR-0039</x:v>
      </x:c>
      <x:c r="B4" s="25" t="str">
        <x:v>New member onboarding domain and assignment ownership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5" t="str">
        <x:v>WP-043</x:v>
      </x:c>
      <x:c r="B5" s="25" t="str">
        <x:v>Implementation scope, requirements and Definition of Done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5" t="str">
        <x:v>ADR-0038</x:v>
      </x:c>
      <x:c r="B6" s="25" t="str">
        <x:v>Dashboard management shell and status-card boundary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5" t="str">
        <x:v>ADR-0035</x:v>
      </x:c>
      <x:c r="B7" s="25" t="str">
        <x:v>Local development identity and production isolation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5" t="str">
        <x:v>ADR-0002</x:v>
      </x:c>
      <x:c r="B8" s="25" t="str">
        <x:v>OpenAPI-first contract expectations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5" t="str">
        <x:v>ADR-0028</x:v>
      </x:c>
      <x:c r="B9" s="25" t="str">
        <x:v>PostgreSQL compatibility and CI gates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5" t="str">
        <x:v>SAD Section 22</x:v>
      </x:c>
      <x:c r="B10" s="25" t="str">
        <x:v>Screen, process, database and API mockups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8" t="str">
        <x:v>Planner handoff guidance</x:v>
      </x:c>
      <x:c r="B12" s="28"/>
      <x:c r="C12" s="28"/>
      <x:c r="D12" s="28"/>
      <x:c r="E12" s="28"/>
      <x:c r="F12" s="28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9" t="str">
        <x:v>1</x:v>
      </x:c>
      <x:c r="B13" s="29" t="str">
        <x:v>Create Planner buckets by Phase.</x:v>
      </x:c>
      <x:c r="C13" s="29" t="str"/>
      <x:c r="D13" s="29" t="str"/>
      <x:c r="E13" s="29" t="str"/>
      <x:c r="F13" s="29" t="str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9" t="str">
        <x:v>2</x:v>
      </x:c>
      <x:c r="B14" s="29" t="str">
        <x:v>Assign task rows using Task ID, owner role and dependency.</x:v>
      </x:c>
      <x:c r="C14" s="29" t="str"/>
      <x:c r="D14" s="29" t="str"/>
      <x:c r="E14" s="29" t="str"/>
      <x:c r="F14" s="29" t="str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9" t="str">
        <x:v>3</x:v>
      </x:c>
      <x:c r="B15" s="29" t="str">
        <x:v>Do not mark a task complete from documentation alone; attach the stated acceptance evidence.</x:v>
      </x:c>
      <x:c r="C15" s="29" t="str"/>
      <x:c r="D15" s="29" t="str"/>
      <x:c r="E15" s="29" t="str"/>
      <x:c r="F15" s="29" t="str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9" t="str">
        <x:v>4</x:v>
      </x:c>
      <x:c r="B16" s="29" t="str">
        <x:v>Keep blocked items blocked until the product-owner/security decision is recorded.</x:v>
      </x:c>
      <x:c r="C16" s="29" t="str"/>
      <x:c r="D16" s="29" t="str"/>
      <x:c r="E16" s="29" t="str"/>
      <x:c r="F16" s="29" t="str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9" t="str">
        <x:v>5</x:v>
      </x:c>
      <x:c r="B17" s="29" t="str">
        <x:v>Update Status in this workbook only as a planning mirror; the repository work package remains authoritative.</x:v>
      </x:c>
      <x:c r="C17" s="29" t="str"/>
      <x:c r="D17" s="29" t="str"/>
      <x:c r="E17" s="29" t="str"/>
      <x:c r="F17" s="29" t="str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F1"/>
    <x:mergeCell ref="A12:F12"/>
  </x:mergeCells>
  <x:pageMargins left="0.7" right="0.7" top="0.75" bottom="0.75" header="0.3" footer="0.3"/>
</x:worksheet>
</file>